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30\Downloads\MetaboMAIA-main\table_rawdata\"/>
    </mc:Choice>
  </mc:AlternateContent>
  <xr:revisionPtr revIDLastSave="0" documentId="13_ncr:1_{4457A3CF-CD97-4268-BE08-13616A368D22}" xr6:coauthVersionLast="47" xr6:coauthVersionMax="47" xr10:uidLastSave="{00000000-0000-0000-0000-000000000000}"/>
  <bookViews>
    <workbookView xWindow="-110" yWindow="-110" windowWidth="19420" windowHeight="11500" xr2:uid="{BF66BC79-0C5D-453D-A6B4-EDD006E6743E}"/>
  </bookViews>
  <sheets>
    <sheet name="線寬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2" l="1"/>
  <c r="D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J6" i="2" s="1"/>
  <c r="E21" i="2"/>
  <c r="E20" i="2"/>
  <c r="E19" i="2"/>
  <c r="E18" i="2"/>
  <c r="E17" i="2"/>
  <c r="E16" i="2"/>
  <c r="E15" i="2"/>
  <c r="E14" i="2"/>
  <c r="E13" i="2"/>
  <c r="E12" i="2"/>
  <c r="J8" i="2" s="1"/>
  <c r="E11" i="2"/>
  <c r="J10" i="2"/>
  <c r="I10" i="2"/>
  <c r="H10" i="2"/>
  <c r="E10" i="2"/>
  <c r="J9" i="2"/>
  <c r="I9" i="2"/>
  <c r="H9" i="2"/>
  <c r="E9" i="2"/>
  <c r="I8" i="2"/>
  <c r="H8" i="2"/>
  <c r="E8" i="2"/>
  <c r="I7" i="2"/>
  <c r="H7" i="2"/>
  <c r="E7" i="2"/>
  <c r="I6" i="2"/>
  <c r="H6" i="2"/>
  <c r="E6" i="2"/>
  <c r="E5" i="2"/>
  <c r="H4" i="2"/>
  <c r="E4" i="2"/>
  <c r="H3" i="2"/>
  <c r="E3" i="2"/>
  <c r="H2" i="2"/>
  <c r="E2" i="2"/>
  <c r="E52" i="2" s="1"/>
  <c r="J7" i="2" l="1"/>
  <c r="J2" i="2"/>
</calcChain>
</file>

<file path=xl/sharedStrings.xml><?xml version="1.0" encoding="utf-8"?>
<sst xmlns="http://schemas.openxmlformats.org/spreadsheetml/2006/main" count="67" uniqueCount="18">
  <si>
    <t xml:space="preserve"> 預期線寬       </t>
  </si>
  <si>
    <t>中位數預期線寬</t>
    <phoneticPr fontId="1" type="noConversion"/>
  </si>
  <si>
    <t>線寬絕對誤差(中位數)</t>
  </si>
  <si>
    <t>MAPE</t>
    <phoneticPr fontId="1" type="noConversion"/>
  </si>
  <si>
    <t>line</t>
    <phoneticPr fontId="1" type="noConversion"/>
  </si>
  <si>
    <t>pca</t>
  </si>
  <si>
    <t>average</t>
    <phoneticPr fontId="1" type="noConversion"/>
  </si>
  <si>
    <t>RMSE(均方根誤差)</t>
    <phoneticPr fontId="1" type="noConversion"/>
  </si>
  <si>
    <t>相關係數</t>
  </si>
  <si>
    <t>MAE</t>
    <phoneticPr fontId="1" type="noConversion"/>
  </si>
  <si>
    <t>heatmap</t>
  </si>
  <si>
    <t>volcano</t>
    <phoneticPr fontId="1" type="noConversion"/>
  </si>
  <si>
    <t>boxplot</t>
    <phoneticPr fontId="1" type="noConversion"/>
  </si>
  <si>
    <t>bar_error</t>
    <phoneticPr fontId="1" type="noConversion"/>
  </si>
  <si>
    <t>volcano</t>
  </si>
  <si>
    <t>boxplot</t>
  </si>
  <si>
    <t>bar_error</t>
  </si>
  <si>
    <t>MAE 標準差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</si>
</sst>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50B3-290D-47A5-AD71-A683590F52F3}">
  <dimension ref="A1:J52"/>
  <sheetViews>
    <sheetView tabSelected="1" zoomScale="68" workbookViewId="0">
      <selection activeCell="M22" sqref="M22"/>
    </sheetView>
  </sheetViews>
  <sheetFormatPr defaultRowHeight="17" x14ac:dyDescent="0.4"/>
  <cols>
    <col min="2" max="2" width="14.08984375" customWidth="1"/>
    <col min="3" max="3" width="15.453125" customWidth="1"/>
    <col min="4" max="4" width="22.26953125" customWidth="1"/>
    <col min="5" max="5" width="16.08984375" customWidth="1"/>
  </cols>
  <sheetData>
    <row r="1" spans="1:10" x14ac:dyDescent="0.4">
      <c r="B1" t="s">
        <v>0</v>
      </c>
      <c r="C1" t="s">
        <v>1</v>
      </c>
      <c r="D1" t="s">
        <v>2</v>
      </c>
      <c r="E1" t="s">
        <v>3</v>
      </c>
      <c r="H1" t="s">
        <v>4</v>
      </c>
    </row>
    <row r="2" spans="1:10" x14ac:dyDescent="0.4">
      <c r="A2" t="s">
        <v>5</v>
      </c>
      <c r="B2">
        <v>3</v>
      </c>
      <c r="C2">
        <v>3.24</v>
      </c>
      <c r="D2">
        <v>0.24000000000000021</v>
      </c>
      <c r="E2" s="1">
        <f>D2/B2</f>
        <v>8.0000000000000071E-2</v>
      </c>
      <c r="G2" s="2" t="s">
        <v>6</v>
      </c>
      <c r="H2" s="3">
        <f>AVERAGE(D2:D51)</f>
        <v>0.24940000000000004</v>
      </c>
      <c r="J2" s="3">
        <f>AVERAGE(E2:E51)</f>
        <v>0.15203999999999998</v>
      </c>
    </row>
    <row r="3" spans="1:10" x14ac:dyDescent="0.4">
      <c r="A3" t="s">
        <v>5</v>
      </c>
      <c r="B3">
        <v>1</v>
      </c>
      <c r="C3">
        <v>1.44</v>
      </c>
      <c r="D3">
        <v>0.43999999999999995</v>
      </c>
      <c r="E3" s="1">
        <f t="shared" ref="E3:E51" si="0">D3/B3</f>
        <v>0.43999999999999995</v>
      </c>
      <c r="G3" s="2" t="s">
        <v>7</v>
      </c>
      <c r="H3" s="3">
        <f>SQRT(SUMSQ(D2:D51)/COUNT(D2:D51))</f>
        <v>0.34739890615832397</v>
      </c>
    </row>
    <row r="4" spans="1:10" x14ac:dyDescent="0.4">
      <c r="A4" t="s">
        <v>5</v>
      </c>
      <c r="B4">
        <v>2</v>
      </c>
      <c r="C4">
        <v>1.92</v>
      </c>
      <c r="D4">
        <v>8.0000000000000071E-2</v>
      </c>
      <c r="E4" s="1">
        <f t="shared" si="0"/>
        <v>4.0000000000000036E-2</v>
      </c>
      <c r="G4" s="2" t="s">
        <v>8</v>
      </c>
      <c r="H4" s="3">
        <f xml:space="preserve"> CORREL(C2:C51,B2:B51)</f>
        <v>0.88175881772818931</v>
      </c>
    </row>
    <row r="5" spans="1:10" x14ac:dyDescent="0.4">
      <c r="A5" t="s">
        <v>5</v>
      </c>
      <c r="B5">
        <v>1.5</v>
      </c>
      <c r="C5">
        <v>1.73</v>
      </c>
      <c r="D5">
        <v>0.22999999999999998</v>
      </c>
      <c r="E5" s="1">
        <f t="shared" si="0"/>
        <v>0.15333333333333332</v>
      </c>
      <c r="G5" s="2" t="s">
        <v>6</v>
      </c>
      <c r="H5" s="2" t="s">
        <v>9</v>
      </c>
      <c r="I5" t="s">
        <v>17</v>
      </c>
      <c r="J5" t="s">
        <v>3</v>
      </c>
    </row>
    <row r="6" spans="1:10" x14ac:dyDescent="0.4">
      <c r="A6" t="s">
        <v>5</v>
      </c>
      <c r="B6">
        <v>2.5</v>
      </c>
      <c r="C6">
        <v>2.4700000000000002</v>
      </c>
      <c r="D6">
        <v>2.9999999999999805E-2</v>
      </c>
      <c r="E6" s="1">
        <f t="shared" si="0"/>
        <v>1.1999999999999922E-2</v>
      </c>
      <c r="G6" s="2" t="s">
        <v>10</v>
      </c>
      <c r="H6" s="3">
        <f>AVERAGE(D22:D31)</f>
        <v>0.377</v>
      </c>
      <c r="I6">
        <f>_xlfn.STDEV.S(D22:D31)</f>
        <v>0.36754591549900262</v>
      </c>
      <c r="J6" s="4">
        <f>AVERAGE(E22:E31)</f>
        <v>0.19086666666666668</v>
      </c>
    </row>
    <row r="7" spans="1:10" x14ac:dyDescent="0.4">
      <c r="A7" t="s">
        <v>5</v>
      </c>
      <c r="B7">
        <v>2.5</v>
      </c>
      <c r="C7">
        <v>2.52</v>
      </c>
      <c r="D7">
        <v>2.0000000000000018E-2</v>
      </c>
      <c r="E7" s="1">
        <f t="shared" si="0"/>
        <v>8.0000000000000071E-3</v>
      </c>
      <c r="G7" s="2" t="s">
        <v>5</v>
      </c>
      <c r="H7" s="3">
        <f>AVERAGE(D2:D11)</f>
        <v>0.16100000000000003</v>
      </c>
      <c r="I7">
        <f>_xlfn.STDEV.S(D2:D11)</f>
        <v>0.12870724748651713</v>
      </c>
      <c r="J7" s="4">
        <f>AVERAGE(E2:E11)</f>
        <v>0.11233333333333335</v>
      </c>
    </row>
    <row r="8" spans="1:10" x14ac:dyDescent="0.4">
      <c r="A8" t="s">
        <v>5</v>
      </c>
      <c r="B8">
        <v>1.5</v>
      </c>
      <c r="C8">
        <v>1.44</v>
      </c>
      <c r="D8">
        <v>6.0000000000000053E-2</v>
      </c>
      <c r="E8" s="1">
        <f t="shared" si="0"/>
        <v>4.0000000000000036E-2</v>
      </c>
      <c r="G8" s="2" t="s">
        <v>11</v>
      </c>
      <c r="H8" s="3">
        <f>AVERAGE(D12:D21)</f>
        <v>0.16100000000000003</v>
      </c>
      <c r="I8">
        <f>_xlfn.STDEV.S(D12:D21)</f>
        <v>0.12870724748651713</v>
      </c>
      <c r="J8" s="4">
        <f>AVERAGE(E12:E21)</f>
        <v>0.11233333333333335</v>
      </c>
    </row>
    <row r="9" spans="1:10" x14ac:dyDescent="0.4">
      <c r="A9" t="s">
        <v>5</v>
      </c>
      <c r="B9">
        <v>1</v>
      </c>
      <c r="C9">
        <v>1.23</v>
      </c>
      <c r="D9">
        <v>0.22999999999999998</v>
      </c>
      <c r="E9" s="1">
        <f t="shared" si="0"/>
        <v>0.22999999999999998</v>
      </c>
      <c r="G9" s="2" t="s">
        <v>12</v>
      </c>
      <c r="H9" s="3">
        <f>AVERAGE(D32:D41)</f>
        <v>0.20300000000000001</v>
      </c>
      <c r="I9">
        <f>_xlfn.STDEV.S(D32:D41)</f>
        <v>0.20390902110718129</v>
      </c>
      <c r="J9" s="4">
        <f>AVERAGE(E32:E41)</f>
        <v>0.12633333333333335</v>
      </c>
    </row>
    <row r="10" spans="1:10" x14ac:dyDescent="0.4">
      <c r="A10" t="s">
        <v>5</v>
      </c>
      <c r="B10">
        <v>3</v>
      </c>
      <c r="C10">
        <v>2.88</v>
      </c>
      <c r="D10">
        <v>0.12000000000000011</v>
      </c>
      <c r="E10" s="1">
        <f t="shared" si="0"/>
        <v>4.0000000000000036E-2</v>
      </c>
      <c r="G10" s="2" t="s">
        <v>13</v>
      </c>
      <c r="H10" s="3">
        <f>AVERAGE(D42:D51)</f>
        <v>0.34500000000000003</v>
      </c>
      <c r="I10">
        <f>_xlfn.STDEV.S(D42:D51)</f>
        <v>0.2590688454188706</v>
      </c>
      <c r="J10" s="4">
        <f>AVERAGE(E42:E51)</f>
        <v>0.21833333333333335</v>
      </c>
    </row>
    <row r="11" spans="1:10" x14ac:dyDescent="0.4">
      <c r="A11" t="s">
        <v>5</v>
      </c>
      <c r="B11">
        <v>2</v>
      </c>
      <c r="C11">
        <v>2.16</v>
      </c>
      <c r="D11">
        <v>0.16000000000000014</v>
      </c>
      <c r="E11" s="1">
        <f t="shared" si="0"/>
        <v>8.0000000000000071E-2</v>
      </c>
      <c r="I11">
        <f>_xlfn.STDEV.S(D2:D51)</f>
        <v>0.24429331650660419</v>
      </c>
    </row>
    <row r="12" spans="1:10" x14ac:dyDescent="0.4">
      <c r="A12" t="s">
        <v>14</v>
      </c>
      <c r="B12">
        <v>3</v>
      </c>
      <c r="C12">
        <v>3.24</v>
      </c>
      <c r="D12">
        <v>0.24000000000000021</v>
      </c>
      <c r="E12" s="1">
        <f t="shared" si="0"/>
        <v>8.0000000000000071E-2</v>
      </c>
    </row>
    <row r="13" spans="1:10" x14ac:dyDescent="0.4">
      <c r="A13" t="s">
        <v>14</v>
      </c>
      <c r="B13">
        <v>1</v>
      </c>
      <c r="C13">
        <v>1.44</v>
      </c>
      <c r="D13">
        <v>0.43999999999999995</v>
      </c>
      <c r="E13" s="1">
        <f t="shared" si="0"/>
        <v>0.43999999999999995</v>
      </c>
    </row>
    <row r="14" spans="1:10" x14ac:dyDescent="0.4">
      <c r="A14" t="s">
        <v>14</v>
      </c>
      <c r="B14">
        <v>2</v>
      </c>
      <c r="C14">
        <v>1.92</v>
      </c>
      <c r="D14">
        <v>8.0000000000000071E-2</v>
      </c>
      <c r="E14" s="1">
        <f t="shared" si="0"/>
        <v>4.0000000000000036E-2</v>
      </c>
    </row>
    <row r="15" spans="1:10" x14ac:dyDescent="0.4">
      <c r="A15" t="s">
        <v>14</v>
      </c>
      <c r="B15">
        <v>1.5</v>
      </c>
      <c r="C15">
        <v>1.27</v>
      </c>
      <c r="D15">
        <v>0.22999999999999998</v>
      </c>
      <c r="E15" s="1">
        <f t="shared" si="0"/>
        <v>0.15333333333333332</v>
      </c>
    </row>
    <row r="16" spans="1:10" x14ac:dyDescent="0.4">
      <c r="A16" t="s">
        <v>14</v>
      </c>
      <c r="B16">
        <v>2.5</v>
      </c>
      <c r="C16">
        <v>2.4700000000000002</v>
      </c>
      <c r="D16">
        <v>2.9999999999999805E-2</v>
      </c>
      <c r="E16" s="1">
        <f t="shared" si="0"/>
        <v>1.1999999999999922E-2</v>
      </c>
    </row>
    <row r="17" spans="1:5" x14ac:dyDescent="0.4">
      <c r="A17" t="s">
        <v>14</v>
      </c>
      <c r="B17">
        <v>2.5</v>
      </c>
      <c r="C17">
        <v>2.52</v>
      </c>
      <c r="D17">
        <v>2.0000000000000018E-2</v>
      </c>
      <c r="E17" s="1">
        <f t="shared" si="0"/>
        <v>8.0000000000000071E-3</v>
      </c>
    </row>
    <row r="18" spans="1:5" x14ac:dyDescent="0.4">
      <c r="A18" t="s">
        <v>14</v>
      </c>
      <c r="B18">
        <v>1.5</v>
      </c>
      <c r="C18">
        <v>1.44</v>
      </c>
      <c r="D18">
        <v>6.0000000000000053E-2</v>
      </c>
      <c r="E18" s="1">
        <f t="shared" si="0"/>
        <v>4.0000000000000036E-2</v>
      </c>
    </row>
    <row r="19" spans="1:5" x14ac:dyDescent="0.4">
      <c r="A19" t="s">
        <v>14</v>
      </c>
      <c r="B19">
        <v>1</v>
      </c>
      <c r="C19">
        <v>1.23</v>
      </c>
      <c r="D19">
        <v>0.22999999999999998</v>
      </c>
      <c r="E19" s="1">
        <f t="shared" si="0"/>
        <v>0.22999999999999998</v>
      </c>
    </row>
    <row r="20" spans="1:5" x14ac:dyDescent="0.4">
      <c r="A20" t="s">
        <v>14</v>
      </c>
      <c r="B20">
        <v>3</v>
      </c>
      <c r="C20">
        <v>2.88</v>
      </c>
      <c r="D20">
        <v>0.12000000000000011</v>
      </c>
      <c r="E20" s="1">
        <f t="shared" si="0"/>
        <v>4.0000000000000036E-2</v>
      </c>
    </row>
    <row r="21" spans="1:5" x14ac:dyDescent="0.4">
      <c r="A21" t="s">
        <v>14</v>
      </c>
      <c r="B21">
        <v>2</v>
      </c>
      <c r="C21">
        <v>2.16</v>
      </c>
      <c r="D21">
        <v>0.16000000000000014</v>
      </c>
      <c r="E21" s="1">
        <f t="shared" si="0"/>
        <v>8.0000000000000071E-2</v>
      </c>
    </row>
    <row r="22" spans="1:5" x14ac:dyDescent="0.4">
      <c r="A22" t="s">
        <v>10</v>
      </c>
      <c r="B22">
        <v>3</v>
      </c>
      <c r="C22">
        <v>3.24</v>
      </c>
      <c r="D22">
        <v>0.24000000000000021</v>
      </c>
      <c r="E22" s="1">
        <f t="shared" si="0"/>
        <v>8.0000000000000071E-2</v>
      </c>
    </row>
    <row r="23" spans="1:5" x14ac:dyDescent="0.4">
      <c r="A23" t="s">
        <v>10</v>
      </c>
      <c r="B23">
        <v>1</v>
      </c>
      <c r="C23">
        <v>1.44</v>
      </c>
      <c r="D23">
        <v>0.43999999999999995</v>
      </c>
      <c r="E23" s="1">
        <f t="shared" si="0"/>
        <v>0.43999999999999995</v>
      </c>
    </row>
    <row r="24" spans="1:5" x14ac:dyDescent="0.4">
      <c r="A24" t="s">
        <v>10</v>
      </c>
      <c r="B24">
        <v>2</v>
      </c>
      <c r="C24">
        <v>2.06</v>
      </c>
      <c r="D24">
        <v>6.0000000000000053E-2</v>
      </c>
      <c r="E24" s="1">
        <f t="shared" si="0"/>
        <v>3.0000000000000027E-2</v>
      </c>
    </row>
    <row r="25" spans="1:5" x14ac:dyDescent="0.4">
      <c r="A25" t="s">
        <v>10</v>
      </c>
      <c r="B25">
        <v>1.5</v>
      </c>
      <c r="C25">
        <v>1.73</v>
      </c>
      <c r="D25">
        <v>0.22999999999999998</v>
      </c>
      <c r="E25" s="1">
        <f t="shared" si="0"/>
        <v>0.15333333333333332</v>
      </c>
    </row>
    <row r="26" spans="1:5" x14ac:dyDescent="0.4">
      <c r="A26" t="s">
        <v>10</v>
      </c>
      <c r="B26">
        <v>2.5</v>
      </c>
      <c r="C26">
        <v>2.88</v>
      </c>
      <c r="D26">
        <v>0.37999999999999989</v>
      </c>
      <c r="E26" s="1">
        <f t="shared" si="0"/>
        <v>0.15199999999999997</v>
      </c>
    </row>
    <row r="27" spans="1:5" x14ac:dyDescent="0.4">
      <c r="A27" t="s">
        <v>10</v>
      </c>
      <c r="B27">
        <v>2.5</v>
      </c>
      <c r="C27">
        <v>1.8</v>
      </c>
      <c r="D27">
        <v>0.7</v>
      </c>
      <c r="E27" s="1">
        <f t="shared" si="0"/>
        <v>0.27999999999999997</v>
      </c>
    </row>
    <row r="28" spans="1:5" x14ac:dyDescent="0.4">
      <c r="A28" t="s">
        <v>10</v>
      </c>
      <c r="B28">
        <v>1.5</v>
      </c>
      <c r="C28">
        <v>1.44</v>
      </c>
      <c r="D28">
        <v>6.0000000000000053E-2</v>
      </c>
      <c r="E28" s="1">
        <f t="shared" si="0"/>
        <v>4.0000000000000036E-2</v>
      </c>
    </row>
    <row r="29" spans="1:5" x14ac:dyDescent="0.4">
      <c r="A29" t="s">
        <v>10</v>
      </c>
      <c r="B29">
        <v>1</v>
      </c>
      <c r="C29">
        <v>1.23</v>
      </c>
      <c r="D29">
        <v>0.22999999999999998</v>
      </c>
      <c r="E29" s="1">
        <f t="shared" si="0"/>
        <v>0.22999999999999998</v>
      </c>
    </row>
    <row r="30" spans="1:5" x14ac:dyDescent="0.4">
      <c r="A30" t="s">
        <v>10</v>
      </c>
      <c r="B30">
        <v>3</v>
      </c>
      <c r="C30">
        <v>1.73</v>
      </c>
      <c r="D30">
        <v>1.27</v>
      </c>
      <c r="E30" s="1">
        <f t="shared" si="0"/>
        <v>0.42333333333333334</v>
      </c>
    </row>
    <row r="31" spans="1:5" x14ac:dyDescent="0.4">
      <c r="A31" t="s">
        <v>10</v>
      </c>
      <c r="B31">
        <v>2</v>
      </c>
      <c r="C31">
        <v>2.16</v>
      </c>
      <c r="D31">
        <v>0.16000000000000014</v>
      </c>
      <c r="E31" s="1">
        <f t="shared" si="0"/>
        <v>8.0000000000000071E-2</v>
      </c>
    </row>
    <row r="32" spans="1:5" x14ac:dyDescent="0.4">
      <c r="A32" t="s">
        <v>15</v>
      </c>
      <c r="B32">
        <v>3</v>
      </c>
      <c r="C32">
        <v>2.34</v>
      </c>
      <c r="D32">
        <v>0.66000000000000014</v>
      </c>
      <c r="E32" s="1">
        <f t="shared" si="0"/>
        <v>0.22000000000000006</v>
      </c>
    </row>
    <row r="33" spans="1:5" x14ac:dyDescent="0.4">
      <c r="A33" t="s">
        <v>15</v>
      </c>
      <c r="B33">
        <v>1</v>
      </c>
      <c r="C33">
        <v>1.44</v>
      </c>
      <c r="D33">
        <v>0.43999999999999995</v>
      </c>
      <c r="E33" s="1">
        <f t="shared" si="0"/>
        <v>0.43999999999999995</v>
      </c>
    </row>
    <row r="34" spans="1:5" x14ac:dyDescent="0.4">
      <c r="A34" t="s">
        <v>15</v>
      </c>
      <c r="B34">
        <v>2</v>
      </c>
      <c r="C34">
        <v>1.92</v>
      </c>
      <c r="D34">
        <v>8.0000000000000071E-2</v>
      </c>
      <c r="E34" s="1">
        <f t="shared" si="0"/>
        <v>4.0000000000000036E-2</v>
      </c>
    </row>
    <row r="35" spans="1:5" x14ac:dyDescent="0.4">
      <c r="A35" t="s">
        <v>15</v>
      </c>
      <c r="B35">
        <v>1.5</v>
      </c>
      <c r="C35">
        <v>1.73</v>
      </c>
      <c r="D35">
        <v>0.22999999999999998</v>
      </c>
      <c r="E35" s="1">
        <f t="shared" si="0"/>
        <v>0.15333333333333332</v>
      </c>
    </row>
    <row r="36" spans="1:5" x14ac:dyDescent="0.4">
      <c r="A36" t="s">
        <v>15</v>
      </c>
      <c r="B36">
        <v>2.5</v>
      </c>
      <c r="C36">
        <v>2.4700000000000002</v>
      </c>
      <c r="D36">
        <v>2.9999999999999805E-2</v>
      </c>
      <c r="E36" s="1">
        <f t="shared" si="0"/>
        <v>1.1999999999999922E-2</v>
      </c>
    </row>
    <row r="37" spans="1:5" x14ac:dyDescent="0.4">
      <c r="A37" t="s">
        <v>15</v>
      </c>
      <c r="B37">
        <v>2.5</v>
      </c>
      <c r="C37">
        <v>2.52</v>
      </c>
      <c r="D37">
        <v>2.0000000000000018E-2</v>
      </c>
      <c r="E37" s="1">
        <f t="shared" si="0"/>
        <v>8.0000000000000071E-3</v>
      </c>
    </row>
    <row r="38" spans="1:5" x14ac:dyDescent="0.4">
      <c r="A38" t="s">
        <v>15</v>
      </c>
      <c r="B38">
        <v>1.5</v>
      </c>
      <c r="C38">
        <v>1.44</v>
      </c>
      <c r="D38">
        <v>6.0000000000000053E-2</v>
      </c>
      <c r="E38" s="1">
        <f t="shared" si="0"/>
        <v>4.0000000000000036E-2</v>
      </c>
    </row>
    <row r="39" spans="1:5" x14ac:dyDescent="0.4">
      <c r="A39" t="s">
        <v>15</v>
      </c>
      <c r="B39">
        <v>1</v>
      </c>
      <c r="C39">
        <v>1.23</v>
      </c>
      <c r="D39">
        <v>0.22999999999999998</v>
      </c>
      <c r="E39" s="1">
        <f t="shared" si="0"/>
        <v>0.22999999999999998</v>
      </c>
    </row>
    <row r="40" spans="1:5" x14ac:dyDescent="0.4">
      <c r="A40" t="s">
        <v>15</v>
      </c>
      <c r="B40">
        <v>3</v>
      </c>
      <c r="C40">
        <v>2.88</v>
      </c>
      <c r="D40">
        <v>0.12000000000000011</v>
      </c>
      <c r="E40" s="1">
        <f t="shared" si="0"/>
        <v>4.0000000000000036E-2</v>
      </c>
    </row>
    <row r="41" spans="1:5" x14ac:dyDescent="0.4">
      <c r="A41" t="s">
        <v>15</v>
      </c>
      <c r="B41">
        <v>2</v>
      </c>
      <c r="C41">
        <v>2.16</v>
      </c>
      <c r="D41">
        <v>0.16000000000000014</v>
      </c>
      <c r="E41" s="1">
        <f t="shared" si="0"/>
        <v>8.0000000000000071E-2</v>
      </c>
    </row>
    <row r="42" spans="1:5" x14ac:dyDescent="0.4">
      <c r="A42" t="s">
        <v>16</v>
      </c>
      <c r="B42">
        <v>3</v>
      </c>
      <c r="C42">
        <v>3.24</v>
      </c>
      <c r="D42">
        <v>0.24000000000000021</v>
      </c>
      <c r="E42" s="1">
        <f t="shared" si="0"/>
        <v>8.0000000000000071E-2</v>
      </c>
    </row>
    <row r="43" spans="1:5" x14ac:dyDescent="0.4">
      <c r="A43" t="s">
        <v>16</v>
      </c>
      <c r="B43">
        <v>1</v>
      </c>
      <c r="C43">
        <v>1.44</v>
      </c>
      <c r="D43">
        <v>0.43999999999999995</v>
      </c>
      <c r="E43" s="1">
        <f t="shared" si="0"/>
        <v>0.43999999999999995</v>
      </c>
    </row>
    <row r="44" spans="1:5" x14ac:dyDescent="0.4">
      <c r="A44" t="s">
        <v>16</v>
      </c>
      <c r="B44">
        <v>2</v>
      </c>
      <c r="C44">
        <v>2.4</v>
      </c>
      <c r="D44">
        <v>0.39999999999999991</v>
      </c>
      <c r="E44" s="1">
        <f t="shared" si="0"/>
        <v>0.19999999999999996</v>
      </c>
    </row>
    <row r="45" spans="1:5" x14ac:dyDescent="0.4">
      <c r="A45" t="s">
        <v>16</v>
      </c>
      <c r="B45">
        <v>1.5</v>
      </c>
      <c r="C45">
        <v>2.31</v>
      </c>
      <c r="D45">
        <v>0.81</v>
      </c>
      <c r="E45" s="1">
        <f t="shared" si="0"/>
        <v>0.54</v>
      </c>
    </row>
    <row r="46" spans="1:5" x14ac:dyDescent="0.4">
      <c r="A46" t="s">
        <v>16</v>
      </c>
      <c r="B46">
        <v>2.5</v>
      </c>
      <c r="C46" s="5">
        <v>2.4700000000000002</v>
      </c>
      <c r="D46">
        <v>2.9999999999999805E-2</v>
      </c>
      <c r="E46" s="1">
        <f t="shared" si="0"/>
        <v>1.1999999999999922E-2</v>
      </c>
    </row>
    <row r="47" spans="1:5" x14ac:dyDescent="0.4">
      <c r="A47" t="s">
        <v>16</v>
      </c>
      <c r="B47">
        <v>2.5</v>
      </c>
      <c r="C47">
        <v>2.52</v>
      </c>
      <c r="D47">
        <v>2.0000000000000018E-2</v>
      </c>
      <c r="E47" s="1">
        <f t="shared" si="0"/>
        <v>8.0000000000000071E-3</v>
      </c>
    </row>
    <row r="48" spans="1:5" x14ac:dyDescent="0.4">
      <c r="A48" t="s">
        <v>16</v>
      </c>
      <c r="B48">
        <v>1.5</v>
      </c>
      <c r="C48">
        <v>2.16</v>
      </c>
      <c r="D48">
        <v>0.66000000000000014</v>
      </c>
      <c r="E48" s="1">
        <f t="shared" si="0"/>
        <v>0.44000000000000011</v>
      </c>
    </row>
    <row r="49" spans="1:5" x14ac:dyDescent="0.4">
      <c r="A49" t="s">
        <v>16</v>
      </c>
      <c r="B49">
        <v>1</v>
      </c>
      <c r="C49">
        <v>1.23</v>
      </c>
      <c r="D49">
        <v>0.22999999999999998</v>
      </c>
      <c r="E49" s="1">
        <f t="shared" si="0"/>
        <v>0.22999999999999998</v>
      </c>
    </row>
    <row r="50" spans="1:5" x14ac:dyDescent="0.4">
      <c r="A50" t="s">
        <v>16</v>
      </c>
      <c r="B50">
        <v>3</v>
      </c>
      <c r="C50">
        <v>3.46</v>
      </c>
      <c r="D50">
        <v>0.45999999999999996</v>
      </c>
      <c r="E50" s="1">
        <f t="shared" si="0"/>
        <v>0.15333333333333332</v>
      </c>
    </row>
    <row r="51" spans="1:5" x14ac:dyDescent="0.4">
      <c r="A51" t="s">
        <v>16</v>
      </c>
      <c r="B51">
        <v>2</v>
      </c>
      <c r="C51">
        <v>2.16</v>
      </c>
      <c r="D51">
        <v>0.16000000000000014</v>
      </c>
      <c r="E51" s="1">
        <f t="shared" si="0"/>
        <v>8.0000000000000071E-2</v>
      </c>
    </row>
    <row r="52" spans="1:5" x14ac:dyDescent="0.4">
      <c r="D52">
        <f>SUM(D2:D51)</f>
        <v>12.470000000000002</v>
      </c>
      <c r="E52">
        <f>SUM(E2:E51)</f>
        <v>7.6019999999999994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線寬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2026-08-28T02:17:00Z</dcterms:created>
  <dcterms:modified xsi:type="dcterms:W3CDTF">2026-08-28T02:25:19Z</dcterms:modified>
</cp:coreProperties>
</file>